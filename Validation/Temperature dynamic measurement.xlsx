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\ADSTech\Bridge discharger\Firmware\LipOpenSink_passive\Validation\"/>
    </mc:Choice>
  </mc:AlternateContent>
  <xr:revisionPtr revIDLastSave="0" documentId="13_ncr:1_{2B92AE06-5BAD-46A7-86D2-0C86E0954F36}" xr6:coauthVersionLast="47" xr6:coauthVersionMax="47" xr10:uidLastSave="{00000000-0000-0000-0000-000000000000}"/>
  <bookViews>
    <workbookView xWindow="-120" yWindow="-120" windowWidth="29040" windowHeight="15720" xr2:uid="{C357AC34-9E06-4C01-98DC-F6DAF18130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8" i="1"/>
  <c r="K7" i="1"/>
  <c r="K11" i="1"/>
  <c r="K3" i="1"/>
  <c r="I7" i="1"/>
  <c r="J7" i="1" s="1"/>
  <c r="I10" i="1"/>
  <c r="J10" i="1" s="1"/>
  <c r="I11" i="1"/>
  <c r="J11" i="1" s="1"/>
  <c r="I12" i="1"/>
  <c r="J12" i="1" s="1"/>
  <c r="I13" i="1"/>
  <c r="J13" i="1" s="1"/>
  <c r="I6" i="1"/>
  <c r="J6" i="1" s="1"/>
  <c r="I3" i="1"/>
  <c r="J3" i="1" s="1"/>
  <c r="I17" i="1"/>
  <c r="J17" i="1" s="1"/>
  <c r="I2" i="1"/>
  <c r="J2" i="1" s="1"/>
  <c r="I16" i="1"/>
  <c r="J16" i="1" s="1"/>
  <c r="C2" i="1"/>
  <c r="C4" i="1" s="1"/>
</calcChain>
</file>

<file path=xl/sharedStrings.xml><?xml version="1.0" encoding="utf-8"?>
<sst xmlns="http://schemas.openxmlformats.org/spreadsheetml/2006/main" count="12" uniqueCount="12">
  <si>
    <t>Tamb</t>
  </si>
  <si>
    <t>Tres</t>
  </si>
  <si>
    <t>Tres2</t>
  </si>
  <si>
    <t>Tntc</t>
  </si>
  <si>
    <t>Fan</t>
  </si>
  <si>
    <t>Ishunt</t>
  </si>
  <si>
    <t>Vload</t>
  </si>
  <si>
    <t>Power</t>
  </si>
  <si>
    <t>Iload</t>
  </si>
  <si>
    <t>Time (s)</t>
  </si>
  <si>
    <t>Rth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</si>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</sst>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71AE-14D4-400D-A66D-6D475EFEA064}">
  <dimension ref="A1:K23"/>
  <sheetViews>
    <sheetView tabSelected="1" workbookViewId="0">
      <selection activeCell="R14" sqref="R14"/>
    </sheetView>
  </sheetViews>
  <sheetFormatPr baseColWidth="10" defaultRowHeight="15" x14ac:dyDescent="0.25"/>
  <sheetData>
    <row r="1" spans="1:11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</row>
    <row r="2" spans="1:11" x14ac:dyDescent="0.25">
      <c r="A2">
        <v>0</v>
      </c>
      <c r="B2">
        <v>19.5</v>
      </c>
      <c r="C2">
        <f>19.5</f>
        <v>19.5</v>
      </c>
      <c r="D2">
        <v>19.5</v>
      </c>
      <c r="E2">
        <v>17</v>
      </c>
      <c r="F2">
        <v>60</v>
      </c>
      <c r="G2">
        <v>0.3957</v>
      </c>
      <c r="H2">
        <v>12.917999999999999</v>
      </c>
      <c r="I2" s="1">
        <f>G2/0.10105</f>
        <v>3.9158832261256804</v>
      </c>
      <c r="J2" s="1">
        <f>H2*I2</f>
        <v>50.585379515091539</v>
      </c>
    </row>
    <row r="3" spans="1:11" x14ac:dyDescent="0.25">
      <c r="A3">
        <v>333</v>
      </c>
      <c r="B3">
        <v>19.5</v>
      </c>
      <c r="C3">
        <v>40.200000000000003</v>
      </c>
      <c r="D3">
        <v>33.6</v>
      </c>
      <c r="E3">
        <v>35.799999999999997</v>
      </c>
      <c r="F3">
        <v>60</v>
      </c>
      <c r="G3">
        <v>0.39560000000000001</v>
      </c>
      <c r="H3">
        <v>12.904999999999999</v>
      </c>
      <c r="I3" s="1">
        <f>G3/0.10105</f>
        <v>3.9148936170212765</v>
      </c>
      <c r="J3" s="1">
        <f>H3*I3</f>
        <v>50.521702127659573</v>
      </c>
      <c r="K3">
        <f>(E3-E2)*0.63+E2</f>
        <v>28.843999999999998</v>
      </c>
    </row>
    <row r="4" spans="1:11" x14ac:dyDescent="0.25">
      <c r="C4">
        <f>C3-C2</f>
        <v>20.700000000000003</v>
      </c>
      <c r="I4" s="1"/>
      <c r="J4" s="1"/>
    </row>
    <row r="5" spans="1:11" x14ac:dyDescent="0.25">
      <c r="I5" s="1"/>
      <c r="J5" s="1"/>
    </row>
    <row r="6" spans="1:11" x14ac:dyDescent="0.25">
      <c r="A6">
        <v>0</v>
      </c>
      <c r="B6">
        <v>19.5</v>
      </c>
      <c r="C6">
        <v>19.899999999999999</v>
      </c>
      <c r="D6">
        <v>19.899999999999999</v>
      </c>
      <c r="E6">
        <v>17.600000000000001</v>
      </c>
      <c r="F6">
        <v>60</v>
      </c>
      <c r="G6">
        <v>0.6149</v>
      </c>
      <c r="H6">
        <v>20.015999999999998</v>
      </c>
      <c r="I6" s="1">
        <f>G6/0.10105</f>
        <v>6.0851063829787231</v>
      </c>
      <c r="J6" s="1">
        <f>H6*I6</f>
        <v>121.79948936170211</v>
      </c>
    </row>
    <row r="7" spans="1:11" x14ac:dyDescent="0.25">
      <c r="A7">
        <v>342</v>
      </c>
      <c r="B7">
        <v>19.5</v>
      </c>
      <c r="C7">
        <v>72.3</v>
      </c>
      <c r="D7">
        <v>55.9</v>
      </c>
      <c r="E7">
        <v>63</v>
      </c>
      <c r="F7">
        <v>60</v>
      </c>
      <c r="G7">
        <v>0.61480000000000001</v>
      </c>
      <c r="H7">
        <v>20.010000000000002</v>
      </c>
      <c r="I7" s="1">
        <f t="shared" ref="I7:I13" si="0">G7/0.10105</f>
        <v>6.08411677387432</v>
      </c>
      <c r="J7" s="1">
        <f t="shared" ref="J7:J13" si="1">H7*I7</f>
        <v>121.74317664522515</v>
      </c>
      <c r="K7">
        <f t="shared" ref="K7:K11" si="2">(E7-E6)*0.63+E6</f>
        <v>46.201999999999998</v>
      </c>
    </row>
    <row r="8" spans="1:11" x14ac:dyDescent="0.25">
      <c r="C8">
        <f>C7-C6</f>
        <v>52.4</v>
      </c>
      <c r="I8" s="1"/>
      <c r="J8" s="1"/>
    </row>
    <row r="9" spans="1:11" x14ac:dyDescent="0.25">
      <c r="I9" s="1"/>
      <c r="J9" s="1"/>
    </row>
    <row r="10" spans="1:11" x14ac:dyDescent="0.25">
      <c r="A10">
        <v>0</v>
      </c>
      <c r="B10">
        <v>19.5</v>
      </c>
      <c r="C10">
        <v>19.899999999999999</v>
      </c>
      <c r="D10">
        <v>19.899999999999999</v>
      </c>
      <c r="E10">
        <v>17.600000000000001</v>
      </c>
      <c r="F10">
        <v>100</v>
      </c>
      <c r="G10">
        <v>0.61599999999999999</v>
      </c>
      <c r="H10">
        <v>20.094999999999999</v>
      </c>
      <c r="I10" s="1">
        <f t="shared" si="0"/>
        <v>6.0959920831271646</v>
      </c>
      <c r="J10" s="1">
        <f t="shared" si="1"/>
        <v>122.49896091044036</v>
      </c>
    </row>
    <row r="11" spans="1:11" x14ac:dyDescent="0.25">
      <c r="A11">
        <v>266</v>
      </c>
      <c r="B11">
        <v>19.5</v>
      </c>
      <c r="C11">
        <v>57.6</v>
      </c>
      <c r="D11">
        <v>42.7</v>
      </c>
      <c r="E11">
        <v>47.1</v>
      </c>
      <c r="F11">
        <v>100</v>
      </c>
      <c r="G11">
        <v>0.61445000000000005</v>
      </c>
      <c r="H11">
        <v>20.013000000000002</v>
      </c>
      <c r="I11" s="1">
        <f t="shared" si="0"/>
        <v>6.0806531420089067</v>
      </c>
      <c r="J11" s="1">
        <f t="shared" si="1"/>
        <v>121.69211133102426</v>
      </c>
      <c r="K11">
        <f t="shared" si="2"/>
        <v>36.185000000000002</v>
      </c>
    </row>
    <row r="12" spans="1:11" x14ac:dyDescent="0.25">
      <c r="C12">
        <f>C11-C10</f>
        <v>37.700000000000003</v>
      </c>
      <c r="I12" s="1">
        <f t="shared" si="0"/>
        <v>0</v>
      </c>
      <c r="J12" s="1">
        <f t="shared" si="1"/>
        <v>0</v>
      </c>
    </row>
    <row r="13" spans="1:11" x14ac:dyDescent="0.25">
      <c r="I13" s="1">
        <f t="shared" si="0"/>
        <v>0</v>
      </c>
      <c r="J13" s="1">
        <f t="shared" si="1"/>
        <v>0</v>
      </c>
    </row>
    <row r="16" spans="1:11" x14ac:dyDescent="0.25">
      <c r="G16">
        <v>3.3</v>
      </c>
      <c r="H16">
        <v>50</v>
      </c>
      <c r="I16">
        <f>SQRT(H16/G16)</f>
        <v>3.892494720807615</v>
      </c>
      <c r="J16">
        <f>I16*G16</f>
        <v>12.845232578665129</v>
      </c>
    </row>
    <row r="17" spans="3:10" x14ac:dyDescent="0.25">
      <c r="G17">
        <v>3.3</v>
      </c>
      <c r="H17">
        <v>120</v>
      </c>
      <c r="I17">
        <f>SQRT(H17/G17)</f>
        <v>6.030226891555273</v>
      </c>
      <c r="J17">
        <f>I17*G17</f>
        <v>19.899748742132399</v>
      </c>
    </row>
    <row r="22" spans="3:10" x14ac:dyDescent="0.25">
      <c r="C22" t="s">
        <v>11</v>
      </c>
      <c r="D22" t="s">
        <v>10</v>
      </c>
    </row>
    <row r="23" spans="3:10" x14ac:dyDescent="0.25">
      <c r="C23">
        <v>60</v>
      </c>
      <c r="D23">
        <v>0.33</v>
      </c>
      <c r="E2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Damiens</dc:creator>
  <cp:lastModifiedBy>Alexis Damiens</cp:lastModifiedBy>
  <dcterms:created xsi:type="dcterms:W3CDTF">2026-01-09T10:06:04Z</dcterms:created>
  <dcterms:modified xsi:type="dcterms:W3CDTF">2026-02-13T12:06:36Z</dcterms:modified>
</cp:coreProperties>
</file>